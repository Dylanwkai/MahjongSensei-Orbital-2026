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stone 1 Log" sheetId="1" state="visible" r:id="rId3"/>
    <sheet name="Milestone 2 Log" sheetId="2" state="visible" r:id="rId4"/>
    <sheet name="Hours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<sst xmlns="http://schemas.openxmlformats.org/spreadsheetml/2006/main" count="217" uniqueCount="103">
  <si>
    <t xml:space="preserve">Stage</t>
  </si>
  <si>
    <t xml:space="preserve">Date</t>
  </si>
  <si>
    <t xml:space="preserve">Team Member</t>
  </si>
  <si>
    <t xml:space="preserve">Action / Work Completed</t>
  </si>
  <si>
    <t xml:space="preserve">Hours</t>
  </si>
  <si>
    <t xml:space="preserve">Prep Stage</t>
  </si>
  <si>
    <t xml:space="preserve">14 May</t>
  </si>
  <si>
    <t xml:space="preserve">Dylan</t>
  </si>
  <si>
    <t xml:space="preserve">Researched and settled on the optimal applications, frameworks, and programming language (Python), considering the core features.</t>
  </si>
  <si>
    <t xml:space="preserve">An Jie</t>
  </si>
  <si>
    <t xml:space="preserve">Developed and designed the poster and liftoff video; wrote the scripts.</t>
  </si>
  <si>
    <t xml:space="preserve">15 May</t>
  </si>
  <si>
    <t xml:space="preserve">Both</t>
  </si>
  <si>
    <t xml:space="preserve">Called with the advisor to discuss improvement pointers; revised large portions of the proposal and project based on the advice.</t>
  </si>
  <si>
    <t xml:space="preserve">16 May</t>
  </si>
  <si>
    <t xml:space="preserve">Filmed the liftoff video, finalised the poster, submitted on SkyLab, and finalised the core features and planning.</t>
  </si>
  <si>
    <t xml:space="preserve">Milestone 1 Work</t>
  </si>
  <si>
    <t xml:space="preserve">18 May</t>
  </si>
  <si>
    <t xml:space="preserve">Prepared and structured the codebase; created the local PostgreSQL database; set up Django to link with React and the local database.</t>
  </si>
  <si>
    <t xml:space="preserve">19 May</t>
  </si>
  <si>
    <t xml:space="preserve">Set up the registration view and authentication routes; created the User serializer using the Django user model, plus the Profile model and serializer.</t>
  </si>
  <si>
    <t xml:space="preserve">20 May</t>
  </si>
  <si>
    <t xml:space="preserve">Built the game engine (Tile, Hand, Deck, HandGenerator) with all tile types, discard and add_tile, deck build, shuffle and draw, and bonus replacement; created global auth state, the Axios JWT client, Login and Register forms, the protected home page, and React Router protected routes; wrote tests.</t>
  </si>
  <si>
    <t xml:space="preserve">22 May</t>
  </si>
  <si>
    <t xml:space="preserve">Integrated the engine with Django REST Framework; created the random-hand endpoint (views.py, urls.py); built Home.jsx to fetch and display the 13-tile hand via Axios, with styling in index.css.</t>
  </si>
  <si>
    <t xml:space="preserve">25 May</t>
  </si>
  <si>
    <t xml:space="preserve">Upgraded AuthContext to restore the JWT session on refresh; added the ProtectedRoute wrapper; built the AppLayout navigation shell.</t>
  </si>
  <si>
    <t xml:space="preserve">27 May</t>
  </si>
  <si>
    <t xml:space="preserve">Created the profile serialization layer; built Profile.jsx; wrote frontend and backend test suites (10 tests); verified the production build with npm run build.</t>
  </si>
  <si>
    <t xml:space="preserve">29 May</t>
  </si>
  <si>
    <t xml:space="preserve">Wrote the README documentation (architecture, JWT sequence, schemas, engine class diagram); cleaned the repository (removed venv, .env, and .DS_Store from git tracking).</t>
  </si>
  <si>
    <t xml:space="preserve">30-31 May</t>
  </si>
  <si>
    <t xml:space="preserve">Poster design and video scripting.</t>
  </si>
  <si>
    <t xml:space="preserve">Milestone 2 Work</t>
  </si>
  <si>
    <t xml:space="preserve">1 Jun</t>
  </si>
  <si>
    <t xml:space="preserve">Planned the Milestone 2 scope and split the work into two parallel tracks (Trainer track and Tutorial track) to avoid merge conflicts.</t>
  </si>
  <si>
    <t xml:space="preserve">Set up feature branches and the pull request review workflow; created GitHub issues for the tasks.</t>
  </si>
  <si>
    <t xml:space="preserve">2 Jun</t>
  </si>
  <si>
    <t xml:space="preserve">Implemented HandEvaluator strength scoring in engine.py (rewards complete sets, pairs, and near-sequences; penalises isolated tiles).</t>
  </si>
  <si>
    <t xml:space="preserve">Implemented ValuationAlgorithm.recommend_discard to evaluate all possible discards and return the best one with a reason.</t>
  </si>
  <si>
    <t xml:space="preserve">3 Jun</t>
  </si>
  <si>
    <t xml:space="preserve">Created RecommendDiscardView with input validation (exactly 14 tiles, valid suits and values, max four copies) and routed /api/game/recommend-discard.</t>
  </si>
  <si>
    <t xml:space="preserve">Implemented the WinChecker engine class for standard hands, Seven Pairs, and Thirteen Orphans.</t>
  </si>
  <si>
    <t xml:space="preserve">4 Jun</t>
  </si>
  <si>
    <t xml:space="preserve">Built the Hand Helper page (HandHelper.jsx) with a visual tile picker and the recommendation display.</t>
  </si>
  <si>
    <t xml:space="preserve">Built CheckWinView and routed /api/game/check-win; connected winning-hand detection for the Hand Helper.</t>
  </si>
  <si>
    <t xml:space="preserve">5 Jun</t>
  </si>
  <si>
    <t xml:space="preserve">Wrote backend tests for HandEvaluator, ValuationAlgorithm, and the recommend-discard API.</t>
  </si>
  <si>
    <t xml:space="preserve">Wrote WinChecker and check-win API tests.</t>
  </si>
  <si>
    <t xml:space="preserve">6 Jun</t>
  </si>
  <si>
    <t xml:space="preserve">Designed the TutorialProgress model with migration and admin registration.</t>
  </si>
  <si>
    <t xml:space="preserve">7 Jun</t>
  </si>
  <si>
    <t xml:space="preserve">Built the tutorial serializers and the static module catalogue.</t>
  </si>
  <si>
    <t xml:space="preserve">8 Jun</t>
  </si>
  <si>
    <t xml:space="preserve">Built the tutorial API (modules, progress, complete) with upsert on completion; routed the tutorial endpoints.</t>
  </si>
  <si>
    <t xml:space="preserve">Added the Session and Move models in the game app, with migration and admin registration.</t>
  </si>
  <si>
    <t xml:space="preserve">9 Jun</t>
  </si>
  <si>
    <t xml:space="preserve">Built the Trainer API (trainer/new, trainer/submit, trainer/history) with discard scoring and move logging; routed the endpoints.</t>
  </si>
  <si>
    <t xml:space="preserve">10 Jun</t>
  </si>
  <si>
    <t xml:space="preserve">Built the Trainer page (Trainer.jsx): deal a hand, pick a discard, show feedback and a running accuracy score; wired the route and nav link.</t>
  </si>
  <si>
    <t xml:space="preserve">Built the Tutorial page (Tutorial.jsx) with the module list and the lesson stepper.</t>
  </si>
  <si>
    <t xml:space="preserve">11 Jun</t>
  </si>
  <si>
    <t xml:space="preserve">Wrote Trainer endpoint tests (auth, ownership, double-submit block, scoring, history).</t>
  </si>
  <si>
    <t xml:space="preserve">Created the TileCard, MeldDemo, and Quiz frontend components.</t>
  </si>
  <si>
    <t xml:space="preserve">12 Jun</t>
  </si>
  <si>
    <t xml:space="preserve">Authored the lesson content and quizzes for the tile recognition, melds, and winning-hands modules.</t>
  </si>
  <si>
    <t xml:space="preserve">Wrote the tutorial backend tests; wired the tutorial route and nav link.</t>
  </si>
  <si>
    <t xml:space="preserve">13 Jun</t>
  </si>
  <si>
    <t xml:space="preserve">Debugged the Trainer 500 error (duplicate sessions from get_or_create) and fixed it by selecting the most recent session.</t>
  </si>
  <si>
    <t xml:space="preserve">Diagnosed JWT token expiry and added an Axios refresh-and-retry interceptor.</t>
  </si>
  <si>
    <t xml:space="preserve">14 Jun</t>
  </si>
  <si>
    <t xml:space="preserve">Reviewed and merged the feature branch pull requests; resolved merge conflicts.</t>
  </si>
  <si>
    <t xml:space="preserve">15 Jun</t>
  </si>
  <si>
    <t xml:space="preserve">Implemented the points (tai) system: the SCORING table and ScoreCalculator (seat wind, round wind, dragons, seat flowers and animals, All Pongs, and flushes) with the minimum-one-tai rule.</t>
  </si>
  <si>
    <t xml:space="preserve">16 Jun</t>
  </si>
  <si>
    <t xml:space="preserve">Added wind, dragon, and seat-flower position constants; built ScoreHandView and routed /api/game/score-hand.</t>
  </si>
  <si>
    <t xml:space="preserve">18 Jun</t>
  </si>
  <si>
    <t xml:space="preserve">Implemented Kong logic: made WinChecker accept 14 to 18 tiles and treat Kongs as melds; added Hand.declare_kong and Deck.draw_replacement.</t>
  </si>
  <si>
    <t xml:space="preserve">19 Jun</t>
  </si>
  <si>
    <t xml:space="preserve">Implemented claiming melds from discards: added the Meld class with a claimed flag and Hand.claim_pong, claim_chow, and claim_kong (exposed, locked melds).</t>
  </si>
  <si>
    <t xml:space="preserve">20 Jun</t>
  </si>
  <si>
    <t xml:space="preserve">Built the reusable HandDisplay component (melds, concealed tiles, bonus row); wired it into Home and the Trainer; returned bonus tiles from the Trainer API.</t>
  </si>
  <si>
    <t xml:space="preserve">21 Jun</t>
  </si>
  <si>
    <t xml:space="preserve">Wrote tests for the scoring system, kong wins, the kong redraw, and claimed melds.</t>
  </si>
  <si>
    <t xml:space="preserve">23 Jun</t>
  </si>
  <si>
    <t xml:space="preserve">Built the Solo Play engine (solo.py): Player and SoloGame, dealing, the draw and discard loop, AI opponents using ValuationAlgorithm, flower replacement, concealed Kong, and the 16-tile washout reserve.</t>
  </si>
  <si>
    <t xml:space="preserve">25 Jun</t>
  </si>
  <si>
    <t xml:space="preserve">Built the Solo Play API (solo/new, solo/state, solo/discard, solo/kong) with a per-user in-memory game store.</t>
  </si>
  <si>
    <t xml:space="preserve">26 Jun</t>
  </si>
  <si>
    <t xml:space="preserve">Built the Solo Play page (SoloPlay.jsx): table view, hidden opponents, discard pile, clickable hand, and a kong action; wired the route and nav link.</t>
  </si>
  <si>
    <t xml:space="preserve">Wrote the Solo Play engine and API tests.</t>
  </si>
  <si>
    <t xml:space="preserve">27 Jun</t>
  </si>
  <si>
    <t xml:space="preserve">Restyled the frontend to a plain, minimal theme (index.css).</t>
  </si>
  <si>
    <t xml:space="preserve">28 Jun</t>
  </si>
  <si>
    <t xml:space="preserve">Manual end-to-end testing and bug triage across all features.</t>
  </si>
  <si>
    <t xml:space="preserve">Wrote the Milestone 2 README (architecture, data flow, and class diagrams; feature write-ups; bugs; software engineering practices).</t>
  </si>
  <si>
    <t xml:space="preserve">29 Jun</t>
  </si>
  <si>
    <t xml:space="preserve">Compiled the Milestone 2 project log.</t>
  </si>
  <si>
    <t xml:space="preserve">Team member</t>
  </si>
  <si>
    <t xml:space="preserve">Milestone 1 hours</t>
  </si>
  <si>
    <t xml:space="preserve">Milestone 2 hours</t>
  </si>
  <si>
    <t xml:space="preserve">Total hours</t>
  </si>
  <si>
    <t xml:space="preserve">Total hours logged (all rows)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</si>
</sst>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C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C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86"/>
    <col collapsed="false" customWidth="true" hidden="false" outlineLevel="0" max="5" min="5" style="1" width="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3.25" hidden="false" customHeight="true" outlineLevel="0" collapsed="false">
      <c r="A2" s="3" t="s">
        <v>5</v>
      </c>
      <c r="B2" s="3" t="s">
        <v>6</v>
      </c>
      <c r="C2" s="3" t="s">
        <v>7</v>
      </c>
      <c r="D2" s="4" t="s">
        <v>8</v>
      </c>
      <c r="E2" s="3" t="n">
        <v>2</v>
      </c>
    </row>
    <row r="3" customFormat="false" ht="15" hidden="false" customHeight="true" outlineLevel="0" collapsed="false">
      <c r="A3" s="3" t="s">
        <v>5</v>
      </c>
      <c r="B3" s="3" t="s">
        <v>6</v>
      </c>
      <c r="C3" s="3" t="s">
        <v>9</v>
      </c>
      <c r="D3" s="4" t="s">
        <v>10</v>
      </c>
      <c r="E3" s="3" t="n">
        <v>2</v>
      </c>
    </row>
    <row r="4" customFormat="false" ht="23.25" hidden="false" customHeight="true" outlineLevel="0" collapsed="false">
      <c r="A4" s="3" t="s">
        <v>5</v>
      </c>
      <c r="B4" s="3" t="s">
        <v>11</v>
      </c>
      <c r="C4" s="3" t="s">
        <v>12</v>
      </c>
      <c r="D4" s="4" t="s">
        <v>13</v>
      </c>
      <c r="E4" s="3" t="n">
        <v>1.5</v>
      </c>
    </row>
    <row r="5" customFormat="false" ht="23.25" hidden="false" customHeight="true" outlineLevel="0" collapsed="false">
      <c r="A5" s="3" t="s">
        <v>5</v>
      </c>
      <c r="B5" s="3" t="s">
        <v>14</v>
      </c>
      <c r="C5" s="3" t="s">
        <v>12</v>
      </c>
      <c r="D5" s="4" t="s">
        <v>15</v>
      </c>
      <c r="E5" s="3" t="n">
        <v>1.5</v>
      </c>
    </row>
    <row r="6" customFormat="false" ht="23.25" hidden="false" customHeight="true" outlineLevel="0" collapsed="false">
      <c r="A6" s="3" t="s">
        <v>16</v>
      </c>
      <c r="B6" s="3" t="s">
        <v>17</v>
      </c>
      <c r="C6" s="3" t="s">
        <v>12</v>
      </c>
      <c r="D6" s="4" t="s">
        <v>18</v>
      </c>
      <c r="E6" s="3" t="n">
        <v>2</v>
      </c>
    </row>
    <row r="7" customFormat="false" ht="23.25" hidden="false" customHeight="true" outlineLevel="0" collapsed="false">
      <c r="A7" s="3" t="s">
        <v>16</v>
      </c>
      <c r="B7" s="3" t="s">
        <v>19</v>
      </c>
      <c r="C7" s="3" t="s">
        <v>12</v>
      </c>
      <c r="D7" s="4" t="s">
        <v>20</v>
      </c>
      <c r="E7" s="3" t="n">
        <v>3</v>
      </c>
    </row>
    <row r="8" customFormat="false" ht="34.5" hidden="false" customHeight="true" outlineLevel="0" collapsed="false">
      <c r="A8" s="3" t="s">
        <v>16</v>
      </c>
      <c r="B8" s="3" t="s">
        <v>21</v>
      </c>
      <c r="C8" s="3" t="s">
        <v>12</v>
      </c>
      <c r="D8" s="4" t="s">
        <v>22</v>
      </c>
      <c r="E8" s="3" t="n">
        <v>6</v>
      </c>
    </row>
    <row r="9" customFormat="false" ht="23.25" hidden="false" customHeight="true" outlineLevel="0" collapsed="false">
      <c r="A9" s="3" t="s">
        <v>16</v>
      </c>
      <c r="B9" s="3" t="s">
        <v>23</v>
      </c>
      <c r="C9" s="3" t="s">
        <v>12</v>
      </c>
      <c r="D9" s="4" t="s">
        <v>24</v>
      </c>
      <c r="E9" s="3" t="n">
        <v>3</v>
      </c>
    </row>
    <row r="10" customFormat="false" ht="23.25" hidden="false" customHeight="true" outlineLevel="0" collapsed="false">
      <c r="A10" s="3" t="s">
        <v>16</v>
      </c>
      <c r="B10" s="3" t="s">
        <v>25</v>
      </c>
      <c r="C10" s="3" t="s">
        <v>12</v>
      </c>
      <c r="D10" s="4" t="s">
        <v>26</v>
      </c>
      <c r="E10" s="3" t="n">
        <v>4</v>
      </c>
    </row>
    <row r="11" customFormat="false" ht="23.25" hidden="false" customHeight="true" outlineLevel="0" collapsed="false">
      <c r="A11" s="3" t="s">
        <v>16</v>
      </c>
      <c r="B11" s="3" t="s">
        <v>27</v>
      </c>
      <c r="C11" s="3" t="s">
        <v>12</v>
      </c>
      <c r="D11" s="4" t="s">
        <v>28</v>
      </c>
      <c r="E11" s="3" t="n">
        <v>5</v>
      </c>
    </row>
    <row r="12" customFormat="false" ht="23.25" hidden="false" customHeight="true" outlineLevel="0" collapsed="false">
      <c r="A12" s="3" t="s">
        <v>16</v>
      </c>
      <c r="B12" s="3" t="s">
        <v>29</v>
      </c>
      <c r="C12" s="3" t="s">
        <v>12</v>
      </c>
      <c r="D12" s="4" t="s">
        <v>30</v>
      </c>
      <c r="E12" s="3" t="n">
        <v>4</v>
      </c>
    </row>
    <row r="13" customFormat="false" ht="15" hidden="false" customHeight="true" outlineLevel="0" collapsed="false">
      <c r="A13" s="3" t="s">
        <v>16</v>
      </c>
      <c r="B13" s="3" t="s">
        <v>31</v>
      </c>
      <c r="C13" s="3" t="s">
        <v>12</v>
      </c>
      <c r="D13" s="4" t="s">
        <v>32</v>
      </c>
      <c r="E13" s="3" t="n">
        <v>4</v>
      </c>
    </row>
    <row r="15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86"/>
    <col collapsed="false" customWidth="true" hidden="false" outlineLevel="0" max="5" min="5" style="1" width="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3.25" hidden="false" customHeight="true" outlineLevel="0" collapsed="false">
      <c r="A2" s="3" t="s">
        <v>33</v>
      </c>
      <c r="B2" s="3" t="s">
        <v>34</v>
      </c>
      <c r="C2" s="3" t="s">
        <v>12</v>
      </c>
      <c r="D2" s="4" t="s">
        <v>35</v>
      </c>
      <c r="E2" s="3" t="n">
        <v>1.5</v>
      </c>
    </row>
    <row r="3" customFormat="false" ht="15" hidden="false" customHeight="true" outlineLevel="0" collapsed="false">
      <c r="A3" s="3" t="s">
        <v>33</v>
      </c>
      <c r="B3" s="3" t="s">
        <v>34</v>
      </c>
      <c r="C3" s="3" t="s">
        <v>12</v>
      </c>
      <c r="D3" s="4" t="s">
        <v>36</v>
      </c>
      <c r="E3" s="3" t="n">
        <v>1.5</v>
      </c>
    </row>
    <row r="4" customFormat="false" ht="23.25" hidden="false" customHeight="true" outlineLevel="0" collapsed="false">
      <c r="A4" s="3" t="s">
        <v>33</v>
      </c>
      <c r="B4" s="3" t="s">
        <v>37</v>
      </c>
      <c r="C4" s="3" t="s">
        <v>9</v>
      </c>
      <c r="D4" s="4" t="s">
        <v>38</v>
      </c>
      <c r="E4" s="3" t="n">
        <v>3</v>
      </c>
    </row>
    <row r="5" customFormat="false" ht="23.25" hidden="false" customHeight="true" outlineLevel="0" collapsed="false">
      <c r="A5" s="3" t="s">
        <v>33</v>
      </c>
      <c r="B5" s="3" t="s">
        <v>37</v>
      </c>
      <c r="C5" s="3" t="s">
        <v>9</v>
      </c>
      <c r="D5" s="4" t="s">
        <v>39</v>
      </c>
      <c r="E5" s="3" t="n">
        <v>2.5</v>
      </c>
    </row>
    <row r="6" customFormat="false" ht="23.25" hidden="false" customHeight="true" outlineLevel="0" collapsed="false">
      <c r="A6" s="3" t="s">
        <v>33</v>
      </c>
      <c r="B6" s="3" t="s">
        <v>40</v>
      </c>
      <c r="C6" s="3" t="s">
        <v>9</v>
      </c>
      <c r="D6" s="4" t="s">
        <v>41</v>
      </c>
      <c r="E6" s="3" t="n">
        <v>2.5</v>
      </c>
    </row>
    <row r="7" customFormat="false" ht="15" hidden="false" customHeight="true" outlineLevel="0" collapsed="false">
      <c r="A7" s="3" t="s">
        <v>33</v>
      </c>
      <c r="B7" s="3" t="s">
        <v>40</v>
      </c>
      <c r="C7" s="3" t="s">
        <v>7</v>
      </c>
      <c r="D7" s="4" t="s">
        <v>42</v>
      </c>
      <c r="E7" s="3" t="n">
        <v>4.5</v>
      </c>
    </row>
    <row r="8" customFormat="false" ht="15" hidden="false" customHeight="true" outlineLevel="0" collapsed="false">
      <c r="A8" s="3" t="s">
        <v>33</v>
      </c>
      <c r="B8" s="3" t="s">
        <v>43</v>
      </c>
      <c r="C8" s="3" t="s">
        <v>7</v>
      </c>
      <c r="D8" s="4" t="s">
        <v>44</v>
      </c>
      <c r="E8" s="3" t="n">
        <v>4.5</v>
      </c>
    </row>
    <row r="9" customFormat="false" ht="23.25" hidden="false" customHeight="true" outlineLevel="0" collapsed="false">
      <c r="A9" s="3" t="s">
        <v>33</v>
      </c>
      <c r="B9" s="3" t="s">
        <v>43</v>
      </c>
      <c r="C9" s="3" t="s">
        <v>7</v>
      </c>
      <c r="D9" s="4" t="s">
        <v>45</v>
      </c>
      <c r="E9" s="3" t="n">
        <v>2.5</v>
      </c>
    </row>
    <row r="10" customFormat="false" ht="15" hidden="false" customHeight="true" outlineLevel="0" collapsed="false">
      <c r="A10" s="3" t="s">
        <v>33</v>
      </c>
      <c r="B10" s="3" t="s">
        <v>46</v>
      </c>
      <c r="C10" s="3" t="s">
        <v>7</v>
      </c>
      <c r="D10" s="4" t="s">
        <v>47</v>
      </c>
      <c r="E10" s="3" t="n">
        <v>2.5</v>
      </c>
    </row>
    <row r="11" customFormat="false" ht="15" hidden="false" customHeight="true" outlineLevel="0" collapsed="false">
      <c r="A11" s="3" t="s">
        <v>33</v>
      </c>
      <c r="B11" s="3" t="s">
        <v>46</v>
      </c>
      <c r="C11" s="3" t="s">
        <v>7</v>
      </c>
      <c r="D11" s="4" t="s">
        <v>48</v>
      </c>
      <c r="E11" s="3" t="n">
        <v>2.5</v>
      </c>
    </row>
    <row r="12" customFormat="false" ht="15" hidden="false" customHeight="true" outlineLevel="0" collapsed="false">
      <c r="A12" s="3" t="s">
        <v>33</v>
      </c>
      <c r="B12" s="3" t="s">
        <v>49</v>
      </c>
      <c r="C12" s="3" t="s">
        <v>7</v>
      </c>
      <c r="D12" s="4" t="s">
        <v>50</v>
      </c>
      <c r="E12" s="3" t="n">
        <v>1.5</v>
      </c>
    </row>
    <row r="13" customFormat="false" ht="15" hidden="false" customHeight="true" outlineLevel="0" collapsed="false">
      <c r="A13" s="3" t="s">
        <v>33</v>
      </c>
      <c r="B13" s="3" t="s">
        <v>51</v>
      </c>
      <c r="C13" s="3" t="s">
        <v>7</v>
      </c>
      <c r="D13" s="4" t="s">
        <v>52</v>
      </c>
      <c r="E13" s="3" t="n">
        <v>1.5</v>
      </c>
    </row>
    <row r="14" customFormat="false" ht="23.25" hidden="false" customHeight="true" outlineLevel="0" collapsed="false">
      <c r="A14" s="3" t="s">
        <v>33</v>
      </c>
      <c r="B14" s="3" t="s">
        <v>53</v>
      </c>
      <c r="C14" s="3" t="s">
        <v>7</v>
      </c>
      <c r="D14" s="4" t="s">
        <v>54</v>
      </c>
      <c r="E14" s="3" t="n">
        <v>3</v>
      </c>
    </row>
    <row r="15" customFormat="false" ht="15" hidden="false" customHeight="true" outlineLevel="0" collapsed="false">
      <c r="A15" s="3" t="s">
        <v>33</v>
      </c>
      <c r="B15" s="3" t="s">
        <v>53</v>
      </c>
      <c r="C15" s="3" t="s">
        <v>9</v>
      </c>
      <c r="D15" s="4" t="s">
        <v>55</v>
      </c>
      <c r="E15" s="3" t="n">
        <v>2.5</v>
      </c>
    </row>
    <row r="16" customFormat="false" ht="23.25" hidden="false" customHeight="true" outlineLevel="0" collapsed="false">
      <c r="A16" s="3" t="s">
        <v>33</v>
      </c>
      <c r="B16" s="3" t="s">
        <v>56</v>
      </c>
      <c r="C16" s="3" t="s">
        <v>9</v>
      </c>
      <c r="D16" s="4" t="s">
        <v>57</v>
      </c>
      <c r="E16" s="3" t="n">
        <v>4.5</v>
      </c>
    </row>
    <row r="17" customFormat="false" ht="23.25" hidden="false" customHeight="true" outlineLevel="0" collapsed="false">
      <c r="A17" s="3" t="s">
        <v>33</v>
      </c>
      <c r="B17" s="3" t="s">
        <v>58</v>
      </c>
      <c r="C17" s="3" t="s">
        <v>9</v>
      </c>
      <c r="D17" s="4" t="s">
        <v>59</v>
      </c>
      <c r="E17" s="3" t="n">
        <v>4.5</v>
      </c>
    </row>
    <row r="18" customFormat="false" ht="15" hidden="false" customHeight="true" outlineLevel="0" collapsed="false">
      <c r="A18" s="3" t="s">
        <v>33</v>
      </c>
      <c r="B18" s="3" t="s">
        <v>58</v>
      </c>
      <c r="C18" s="3" t="s">
        <v>7</v>
      </c>
      <c r="D18" s="4" t="s">
        <v>60</v>
      </c>
      <c r="E18" s="3" t="n">
        <v>4.5</v>
      </c>
    </row>
    <row r="19" customFormat="false" ht="15" hidden="false" customHeight="true" outlineLevel="0" collapsed="false">
      <c r="A19" s="3" t="s">
        <v>33</v>
      </c>
      <c r="B19" s="3" t="s">
        <v>61</v>
      </c>
      <c r="C19" s="3" t="s">
        <v>9</v>
      </c>
      <c r="D19" s="4" t="s">
        <v>62</v>
      </c>
      <c r="E19" s="3" t="n">
        <v>2.5</v>
      </c>
    </row>
    <row r="20" customFormat="false" ht="15" hidden="false" customHeight="true" outlineLevel="0" collapsed="false">
      <c r="A20" s="3" t="s">
        <v>33</v>
      </c>
      <c r="B20" s="3" t="s">
        <v>61</v>
      </c>
      <c r="C20" s="3" t="s">
        <v>7</v>
      </c>
      <c r="D20" s="4" t="s">
        <v>63</v>
      </c>
      <c r="E20" s="3" t="n">
        <v>4</v>
      </c>
    </row>
    <row r="21" customFormat="false" ht="15" hidden="false" customHeight="true" outlineLevel="0" collapsed="false">
      <c r="A21" s="3" t="s">
        <v>33</v>
      </c>
      <c r="B21" s="3" t="s">
        <v>64</v>
      </c>
      <c r="C21" s="3" t="s">
        <v>7</v>
      </c>
      <c r="D21" s="4" t="s">
        <v>65</v>
      </c>
      <c r="E21" s="3" t="n">
        <v>3</v>
      </c>
    </row>
    <row r="22" customFormat="false" ht="15" hidden="false" customHeight="true" outlineLevel="0" collapsed="false">
      <c r="A22" s="3" t="s">
        <v>33</v>
      </c>
      <c r="B22" s="3" t="s">
        <v>64</v>
      </c>
      <c r="C22" s="3" t="s">
        <v>7</v>
      </c>
      <c r="D22" s="4" t="s">
        <v>66</v>
      </c>
      <c r="E22" s="3" t="n">
        <v>2.5</v>
      </c>
    </row>
    <row r="23" customFormat="false" ht="23.25" hidden="false" customHeight="true" outlineLevel="0" collapsed="false">
      <c r="A23" s="3" t="s">
        <v>33</v>
      </c>
      <c r="B23" s="3" t="s">
        <v>67</v>
      </c>
      <c r="C23" s="3" t="s">
        <v>9</v>
      </c>
      <c r="D23" s="4" t="s">
        <v>68</v>
      </c>
      <c r="E23" s="3" t="n">
        <v>1.5</v>
      </c>
    </row>
    <row r="24" customFormat="false" ht="15" hidden="false" customHeight="true" outlineLevel="0" collapsed="false">
      <c r="A24" s="3" t="s">
        <v>33</v>
      </c>
      <c r="B24" s="3" t="s">
        <v>67</v>
      </c>
      <c r="C24" s="3" t="s">
        <v>9</v>
      </c>
      <c r="D24" s="4" t="s">
        <v>69</v>
      </c>
      <c r="E24" s="3" t="n">
        <v>1.5</v>
      </c>
    </row>
    <row r="25" customFormat="false" ht="15" hidden="false" customHeight="true" outlineLevel="0" collapsed="false">
      <c r="A25" s="3" t="s">
        <v>33</v>
      </c>
      <c r="B25" s="3" t="s">
        <v>70</v>
      </c>
      <c r="C25" s="3" t="s">
        <v>12</v>
      </c>
      <c r="D25" s="4" t="s">
        <v>71</v>
      </c>
      <c r="E25" s="3" t="n">
        <v>2.5</v>
      </c>
    </row>
    <row r="26" customFormat="false" ht="23.25" hidden="false" customHeight="true" outlineLevel="0" collapsed="false">
      <c r="A26" s="3" t="s">
        <v>33</v>
      </c>
      <c r="B26" s="3" t="s">
        <v>72</v>
      </c>
      <c r="C26" s="3" t="s">
        <v>9</v>
      </c>
      <c r="D26" s="4" t="s">
        <v>73</v>
      </c>
      <c r="E26" s="3" t="n">
        <v>4.5</v>
      </c>
    </row>
    <row r="27" customFormat="false" ht="23.25" hidden="false" customHeight="true" outlineLevel="0" collapsed="false">
      <c r="A27" s="3" t="s">
        <v>33</v>
      </c>
      <c r="B27" s="3" t="s">
        <v>74</v>
      </c>
      <c r="C27" s="3" t="s">
        <v>9</v>
      </c>
      <c r="D27" s="4" t="s">
        <v>75</v>
      </c>
      <c r="E27" s="3" t="n">
        <v>2.5</v>
      </c>
    </row>
    <row r="28" customFormat="false" ht="23.25" hidden="false" customHeight="true" outlineLevel="0" collapsed="false">
      <c r="A28" s="3" t="s">
        <v>33</v>
      </c>
      <c r="B28" s="3" t="s">
        <v>76</v>
      </c>
      <c r="C28" s="3" t="s">
        <v>9</v>
      </c>
      <c r="D28" s="4" t="s">
        <v>77</v>
      </c>
      <c r="E28" s="3" t="n">
        <v>4</v>
      </c>
    </row>
    <row r="29" customFormat="false" ht="23.25" hidden="false" customHeight="true" outlineLevel="0" collapsed="false">
      <c r="A29" s="3" t="s">
        <v>33</v>
      </c>
      <c r="B29" s="3" t="s">
        <v>78</v>
      </c>
      <c r="C29" s="3" t="s">
        <v>9</v>
      </c>
      <c r="D29" s="4" t="s">
        <v>79</v>
      </c>
      <c r="E29" s="3" t="n">
        <v>3</v>
      </c>
    </row>
    <row r="30" customFormat="false" ht="23.25" hidden="false" customHeight="true" outlineLevel="0" collapsed="false">
      <c r="A30" s="3" t="s">
        <v>33</v>
      </c>
      <c r="B30" s="3" t="s">
        <v>80</v>
      </c>
      <c r="C30" s="3" t="s">
        <v>7</v>
      </c>
      <c r="D30" s="4" t="s">
        <v>81</v>
      </c>
      <c r="E30" s="3" t="n">
        <v>3</v>
      </c>
    </row>
    <row r="31" customFormat="false" ht="15" hidden="false" customHeight="true" outlineLevel="0" collapsed="false">
      <c r="A31" s="3" t="s">
        <v>33</v>
      </c>
      <c r="B31" s="3" t="s">
        <v>82</v>
      </c>
      <c r="C31" s="3" t="s">
        <v>9</v>
      </c>
      <c r="D31" s="4" t="s">
        <v>83</v>
      </c>
      <c r="E31" s="3" t="n">
        <v>2.5</v>
      </c>
    </row>
    <row r="32" customFormat="false" ht="34.5" hidden="false" customHeight="true" outlineLevel="0" collapsed="false">
      <c r="A32" s="3" t="s">
        <v>33</v>
      </c>
      <c r="B32" s="3" t="s">
        <v>84</v>
      </c>
      <c r="C32" s="3" t="s">
        <v>9</v>
      </c>
      <c r="D32" s="4" t="s">
        <v>85</v>
      </c>
      <c r="E32" s="3" t="n">
        <v>6</v>
      </c>
    </row>
    <row r="33" customFormat="false" ht="23.25" hidden="false" customHeight="true" outlineLevel="0" collapsed="false">
      <c r="A33" s="3" t="s">
        <v>33</v>
      </c>
      <c r="B33" s="3" t="s">
        <v>86</v>
      </c>
      <c r="C33" s="3" t="s">
        <v>9</v>
      </c>
      <c r="D33" s="4" t="s">
        <v>87</v>
      </c>
      <c r="E33" s="3" t="n">
        <v>3</v>
      </c>
    </row>
    <row r="34" customFormat="false" ht="23.25" hidden="false" customHeight="true" outlineLevel="0" collapsed="false">
      <c r="A34" s="3" t="s">
        <v>33</v>
      </c>
      <c r="B34" s="3" t="s">
        <v>88</v>
      </c>
      <c r="C34" s="3" t="s">
        <v>7</v>
      </c>
      <c r="D34" s="4" t="s">
        <v>89</v>
      </c>
      <c r="E34" s="3" t="n">
        <v>4.5</v>
      </c>
    </row>
    <row r="35" customFormat="false" ht="15" hidden="false" customHeight="true" outlineLevel="0" collapsed="false">
      <c r="A35" s="3" t="s">
        <v>33</v>
      </c>
      <c r="B35" s="3" t="s">
        <v>88</v>
      </c>
      <c r="C35" s="3" t="s">
        <v>7</v>
      </c>
      <c r="D35" s="4" t="s">
        <v>90</v>
      </c>
      <c r="E35" s="3" t="n">
        <v>2.5</v>
      </c>
    </row>
    <row r="36" customFormat="false" ht="15" hidden="false" customHeight="true" outlineLevel="0" collapsed="false">
      <c r="A36" s="3" t="s">
        <v>33</v>
      </c>
      <c r="B36" s="3" t="s">
        <v>91</v>
      </c>
      <c r="C36" s="3" t="s">
        <v>7</v>
      </c>
      <c r="D36" s="4" t="s">
        <v>92</v>
      </c>
      <c r="E36" s="3" t="n">
        <v>2.5</v>
      </c>
    </row>
    <row r="37" customFormat="false" ht="15" hidden="false" customHeight="true" outlineLevel="0" collapsed="false">
      <c r="A37" s="3" t="s">
        <v>33</v>
      </c>
      <c r="B37" s="3" t="s">
        <v>93</v>
      </c>
      <c r="C37" s="3" t="s">
        <v>12</v>
      </c>
      <c r="D37" s="4" t="s">
        <v>94</v>
      </c>
      <c r="E37" s="3" t="n">
        <v>2.5</v>
      </c>
    </row>
    <row r="38" customFormat="false" ht="23.25" hidden="false" customHeight="true" outlineLevel="0" collapsed="false">
      <c r="A38" s="3" t="s">
        <v>33</v>
      </c>
      <c r="B38" s="3" t="s">
        <v>93</v>
      </c>
      <c r="C38" s="3" t="s">
        <v>12</v>
      </c>
      <c r="D38" s="4" t="s">
        <v>95</v>
      </c>
      <c r="E38" s="3" t="n">
        <v>6</v>
      </c>
    </row>
    <row r="39" customFormat="false" ht="15" hidden="false" customHeight="true" outlineLevel="0" collapsed="false">
      <c r="A39" s="3" t="s">
        <v>33</v>
      </c>
      <c r="B39" s="3" t="s">
        <v>96</v>
      </c>
      <c r="C39" s="3" t="s">
        <v>12</v>
      </c>
      <c r="D39" s="4" t="s">
        <v>97</v>
      </c>
      <c r="E39" s="3" t="n">
        <v>1</v>
      </c>
    </row>
    <row r="4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6"/>
  </cols>
  <sheetData>
    <row r="1" customFormat="false" ht="15" hidden="false" customHeight="true" outlineLevel="0" collapsed="false">
      <c r="A1" s="5" t="s">
        <v>98</v>
      </c>
      <c r="B1" s="5" t="s">
        <v>99</v>
      </c>
      <c r="C1" s="5" t="s">
        <v>100</v>
      </c>
      <c r="D1" s="5" t="s">
        <v>101</v>
      </c>
    </row>
    <row r="2" customFormat="false" ht="15" hidden="false" customHeight="true" outlineLevel="0" collapsed="false">
      <c r="A2" s="6" t="s">
        <v>9</v>
      </c>
      <c r="B2" s="6" t="n">
        <f aca="false">SUMIF('Milestone 1 Log'!C:C,"An Jie",'Milestone 1 Log'!E:E)+SUMIF('Milestone 1 Log'!C:C,"Both",'Milestone 1 Log'!E:E)</f>
        <v>36</v>
      </c>
      <c r="C2" s="6" t="n">
        <f aca="false">SUMIF('Milestone 2 Log'!C:C,"An Jie",'Milestone 2 Log'!E:E)+SUMIF('Milestone 2 Log'!C:C,"Both",'Milestone 2 Log'!E:E)</f>
        <v>65.5</v>
      </c>
      <c r="D2" s="6" t="n">
        <f aca="false">B2+C2</f>
        <v>101.5</v>
      </c>
    </row>
    <row r="3" customFormat="false" ht="15" hidden="false" customHeight="true" outlineLevel="0" collapsed="false">
      <c r="A3" s="6" t="s">
        <v>7</v>
      </c>
      <c r="B3" s="6" t="n">
        <f aca="false">SUMIF('Milestone 1 Log'!C:C,"Dylan",'Milestone 1 Log'!E:E)+SUMIF('Milestone 1 Log'!C:C,"Both",'Milestone 1 Log'!E:E)</f>
        <v>36</v>
      </c>
      <c r="C3" s="6" t="n">
        <f aca="false">SUMIF('Milestone 2 Log'!C:C,"Dylan",'Milestone 2 Log'!E:E)+SUMIF('Milestone 2 Log'!C:C,"Both",'Milestone 2 Log'!E:E)</f>
        <v>64</v>
      </c>
      <c r="D3" s="6" t="n">
        <f aca="false">B3+C3</f>
        <v>100</v>
      </c>
    </row>
    <row r="5" customFormat="false" ht="15" hidden="false" customHeight="true" outlineLevel="0" collapsed="false">
      <c r="A5" s="7" t="s">
        <v>102</v>
      </c>
      <c r="B5" s="6" t="n">
        <f aca="false">SUM('Milestone 1 Log'!E:E)</f>
        <v>38</v>
      </c>
      <c r="C5" s="6" t="n">
        <f aca="false">SUM('Milestone 2 Log'!E:E)</f>
        <v>114.5</v>
      </c>
      <c r="D5" s="6" t="n">
        <f aca="false">B5+C5</f>
        <v>152.5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2026-06-28T10:27:06Z</dcterms:created>
  <dc:creator>openpyxl</dc:creator>
  <dc:description/>
  <dc:language>en-US</dc:language>
  <cp:lastModifiedBy/>
  <dcterms:modified xsi:type="dcterms:W3CDTF">2026-06-28T10:49:08Z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